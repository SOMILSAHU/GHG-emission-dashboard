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f3d55047af5a87/Desktop/"/>
    </mc:Choice>
  </mc:AlternateContent>
  <xr:revisionPtr revIDLastSave="19" documentId="8_{BFEF83DE-42FA-42CD-AB19-99C970CED508}" xr6:coauthVersionLast="47" xr6:coauthVersionMax="47" xr10:uidLastSave="{1C8D52C0-EA17-4996-B4A8-0D47195EC1D8}"/>
  <bookViews>
    <workbookView xWindow="-120" yWindow="-120" windowWidth="20730" windowHeight="11040" firstSheet="2" activeTab="6" xr2:uid="{B7DA8F92-22A7-480C-92AC-83045BB73FE9}"/>
  </bookViews>
  <sheets>
    <sheet name="Emission Factor" sheetId="1" r:id="rId1"/>
    <sheet name="Activity sources" sheetId="2" r:id="rId2"/>
    <sheet name="Calculation" sheetId="4" r:id="rId3"/>
    <sheet name="GHG_Trend" sheetId="5" r:id="rId4"/>
    <sheet name="Scope1_Refrigerants" sheetId="7" r:id="rId5"/>
    <sheet name="Scope2_Reconciliation" sheetId="8" r:id="rId6"/>
    <sheet name="Scope3_Categories" sheetId="6" r:id="rId7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4" l="1"/>
  <c r="D16" i="4"/>
  <c r="F13" i="2"/>
  <c r="B16" i="4" s="1"/>
  <c r="F12" i="2"/>
  <c r="B15" i="4" s="1"/>
  <c r="B18" i="4" s="1"/>
  <c r="E18" i="4" s="1"/>
  <c r="F18" i="4" s="1"/>
  <c r="B26" i="4"/>
  <c r="F26" i="4" s="1"/>
  <c r="A26" i="4"/>
  <c r="D15" i="4"/>
  <c r="A4" i="4"/>
  <c r="D4" i="4" s="1"/>
  <c r="B22" i="4"/>
  <c r="F22" i="4" s="1"/>
  <c r="B23" i="4"/>
  <c r="F23" i="4" s="1"/>
  <c r="B24" i="4"/>
  <c r="B25" i="4"/>
  <c r="F25" i="4" s="1"/>
  <c r="B27" i="4"/>
  <c r="F27" i="4" s="1"/>
  <c r="B28" i="4"/>
  <c r="F4" i="2"/>
  <c r="B5" i="4" s="1"/>
  <c r="F5" i="2"/>
  <c r="B6" i="4" s="1"/>
  <c r="F6" i="2"/>
  <c r="B7" i="4" s="1"/>
  <c r="F7" i="2"/>
  <c r="B8" i="4" s="1"/>
  <c r="F8" i="2"/>
  <c r="B9" i="4" s="1"/>
  <c r="F9" i="2"/>
  <c r="B10" i="4" s="1"/>
  <c r="F10" i="2"/>
  <c r="B11" i="4" s="1"/>
  <c r="F3" i="2"/>
  <c r="B4" i="4" s="1"/>
  <c r="F2" i="2"/>
  <c r="B3" i="4" s="1"/>
  <c r="A28" i="4"/>
  <c r="A23" i="4"/>
  <c r="A24" i="4"/>
  <c r="A25" i="4"/>
  <c r="A27" i="4"/>
  <c r="A5" i="4"/>
  <c r="D5" i="4" s="1"/>
  <c r="A6" i="4"/>
  <c r="D6" i="4" s="1"/>
  <c r="A7" i="4"/>
  <c r="D7" i="4" s="1"/>
  <c r="A8" i="4"/>
  <c r="D8" i="4" s="1"/>
  <c r="A9" i="4"/>
  <c r="D9" i="4" s="1"/>
  <c r="A10" i="4"/>
  <c r="D10" i="4" s="1"/>
  <c r="A11" i="4"/>
  <c r="D11" i="4" s="1"/>
  <c r="A15" i="4"/>
  <c r="A16" i="4"/>
  <c r="A21" i="4"/>
  <c r="A22" i="4"/>
  <c r="A3" i="4"/>
  <c r="E9" i="4" l="1"/>
  <c r="F9" i="4" s="1"/>
  <c r="B17" i="4"/>
  <c r="E17" i="4" s="1"/>
  <c r="F17" i="4" s="1"/>
  <c r="E6" i="4"/>
  <c r="F6" i="4" s="1"/>
  <c r="E11" i="4"/>
  <c r="F11" i="4" s="1"/>
  <c r="E4" i="4"/>
  <c r="F4" i="4" s="1"/>
  <c r="E10" i="4"/>
  <c r="F10" i="4" s="1"/>
  <c r="E8" i="4"/>
  <c r="F8" i="4" s="1"/>
  <c r="E15" i="4"/>
  <c r="F15" i="4" s="1"/>
  <c r="E7" i="4"/>
  <c r="F7" i="4" s="1"/>
  <c r="E5" i="4"/>
  <c r="F5" i="4" s="1"/>
  <c r="E16" i="4"/>
  <c r="F16" i="4" s="1"/>
  <c r="E3" i="4"/>
  <c r="F3" i="4" s="1"/>
  <c r="F21" i="4"/>
  <c r="F28" i="4"/>
  <c r="F24" i="4"/>
  <c r="F29" i="4" l="1"/>
  <c r="F12" i="4"/>
  <c r="F3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88D57-68EF-43DC-A2ED-D70642BA414E}" keepAlive="1" name="Query - infosys-ar-26" description="Connection to the 'infosys-ar-26' query in the workbook." type="5" refreshedVersion="0" background="1">
    <dbPr connection="Provider=Microsoft.Mashup.OleDb.1;Data Source=$Workbook$;Location=infosys-ar-26;Extended Properties=&quot;&quot;" command="SELECT * FROM [infosys-ar-26]"/>
  </connection>
</connections>
</file>

<file path=xl/sharedStrings.xml><?xml version="1.0" encoding="utf-8"?>
<sst xmlns="http://schemas.openxmlformats.org/spreadsheetml/2006/main" count="209" uniqueCount="89">
  <si>
    <t>Unit</t>
  </si>
  <si>
    <t>Official Source</t>
  </si>
  <si>
    <t>Companies Factor Value</t>
  </si>
  <si>
    <t>Auditor Factor Value</t>
  </si>
  <si>
    <t>Scope</t>
  </si>
  <si>
    <t>Emission Source</t>
  </si>
  <si>
    <t>High Speed Diesel</t>
  </si>
  <si>
    <t>Piped Natural Gas</t>
  </si>
  <si>
    <t>Petrol</t>
  </si>
  <si>
    <t>Pruchased Grid Electricity</t>
  </si>
  <si>
    <t>Renewable Power</t>
  </si>
  <si>
    <t>Business Travel</t>
  </si>
  <si>
    <t>Employee Commuting</t>
  </si>
  <si>
    <t>kg</t>
  </si>
  <si>
    <t>Activity Category</t>
  </si>
  <si>
    <t>Raw Value</t>
  </si>
  <si>
    <t>Raw Unit</t>
  </si>
  <si>
    <t>Standardized Unit</t>
  </si>
  <si>
    <t>Source Document</t>
  </si>
  <si>
    <t>GJ</t>
  </si>
  <si>
    <t>Renewable Electricity</t>
  </si>
  <si>
    <t>Consolidated(HSD, Petrol,PNG)</t>
  </si>
  <si>
    <t>Refrigerant R407C</t>
  </si>
  <si>
    <t>Refrigerant R410A</t>
  </si>
  <si>
    <t>Refrigerant R134A</t>
  </si>
  <si>
    <t>Refrigerant R404A</t>
  </si>
  <si>
    <t>Refrigerant R32</t>
  </si>
  <si>
    <t>Refrigerant R417A</t>
  </si>
  <si>
    <t>Refrigerant R123</t>
  </si>
  <si>
    <t>KWH</t>
  </si>
  <si>
    <t>Grid Electricity</t>
  </si>
  <si>
    <t>tCO2e</t>
  </si>
  <si>
    <t>T&amp;D Loss</t>
  </si>
  <si>
    <t>Upstream Leased Asset</t>
  </si>
  <si>
    <t>Waste Generated in Operation</t>
  </si>
  <si>
    <t xml:space="preserve"> Capital Goods</t>
  </si>
  <si>
    <t>Purchased Goods and services</t>
  </si>
  <si>
    <t>Standardised Value</t>
  </si>
  <si>
    <t>Standardised unit</t>
  </si>
  <si>
    <t>Applied Emission Factor</t>
  </si>
  <si>
    <t>Footprint (kgCO2e)</t>
  </si>
  <si>
    <t>Footprint (tCO2e)</t>
  </si>
  <si>
    <t>Standardized Value</t>
  </si>
  <si>
    <t>Refrigerant R22</t>
  </si>
  <si>
    <t>Work from Home Emission</t>
  </si>
  <si>
    <t>Scope 1 Total</t>
  </si>
  <si>
    <t>Scope 3 Total</t>
  </si>
  <si>
    <t>Scope 2 Location Based</t>
  </si>
  <si>
    <t xml:space="preserve">SCOPE 1 </t>
  </si>
  <si>
    <t>SCOPE 2</t>
  </si>
  <si>
    <t>Scope 2 Market Based</t>
  </si>
  <si>
    <t xml:space="preserve">Scope 3 </t>
  </si>
  <si>
    <t>TOTAL SCOPE (1+2+3)</t>
  </si>
  <si>
    <t>IPCC Guidelines for National Greenhouse Gas Inventories</t>
  </si>
  <si>
    <t>IPCC 6th Assessment Report</t>
  </si>
  <si>
    <t>CEA: CO2 Baseline Database for the Indian Power Sector – 2025</t>
  </si>
  <si>
    <t>Scope 3</t>
  </si>
  <si>
    <t>FY2026</t>
  </si>
  <si>
    <t>FY2025</t>
  </si>
  <si>
    <t>FY2024</t>
  </si>
  <si>
    <t>Scope 2</t>
  </si>
  <si>
    <t>Scope 1</t>
  </si>
  <si>
    <t>Value_tCO2e</t>
  </si>
  <si>
    <t>Year</t>
  </si>
  <si>
    <t>Waste generated</t>
  </si>
  <si>
    <t>Upstream leased assets</t>
  </si>
  <si>
    <t>T&amp;D losses</t>
  </si>
  <si>
    <t>Purchased goods &amp; services</t>
  </si>
  <si>
    <t>Work from home</t>
  </si>
  <si>
    <t>Capital goods</t>
  </si>
  <si>
    <t>Employee commute</t>
  </si>
  <si>
    <t>Business travel</t>
  </si>
  <si>
    <t>Category</t>
  </si>
  <si>
    <t>R123</t>
  </si>
  <si>
    <t>R32</t>
  </si>
  <si>
    <t>R404A</t>
  </si>
  <si>
    <t>R417A</t>
  </si>
  <si>
    <t>R22</t>
  </si>
  <si>
    <t>R407C</t>
  </si>
  <si>
    <t>R134A</t>
  </si>
  <si>
    <t>R410A</t>
  </si>
  <si>
    <t>Refrigerant</t>
  </si>
  <si>
    <t>Published</t>
  </si>
  <si>
    <t>Market-based</t>
  </si>
  <si>
    <t>Independent estimate</t>
  </si>
  <si>
    <t>Location-based</t>
  </si>
  <si>
    <t>Source</t>
  </si>
  <si>
    <t>Method</t>
  </si>
  <si>
    <t>TOTAL SCOPE 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</si>
</sst>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0" xfId="0" applyFont="1" applyFill="1"/>
    <xf numFmtId="0" fontId="4" fillId="4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F04C4-AE6D-4918-AA3B-9746A41091E6}" name="Table1" displayName="Table1" ref="A1:G22" totalsRowShown="0" headerRowDxfId="0">
  <autoFilter ref="A1:G22" xr:uid="{5FDF04C4-AE6D-4918-AA3B-9746A41091E6}"/>
  <tableColumns count="7">
    <tableColumn id="1" xr3:uid="{2290970A-1B1C-4CAD-BE35-BF101C940A5F}" name="Scope"/>
    <tableColumn id="2" xr3:uid="{7F27C189-6BD0-4C58-AE52-3E1538F8FBD3}" name="Activity Category"/>
    <tableColumn id="3" xr3:uid="{F52E40B4-CBD0-4089-88C8-A72ED754103C}" name="Raw Value"/>
    <tableColumn id="4" xr3:uid="{03B28CF4-2B1A-4893-BA6E-7ECB0FBF53B1}" name="Raw Unit"/>
    <tableColumn id="5" xr3:uid="{6925FC7F-7C98-4298-9060-334886F6B0FD}" name="Standardized Unit"/>
    <tableColumn id="6" xr3:uid="{28C5768F-6C43-4B58-AF30-1405BECE4EC6}" name="Standardized Value"/>
    <tableColumn id="7" xr3:uid="{2D324E9C-DDF4-4EED-A77C-3F2300A271AC}" name="Source Docu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DDA-4292-43AE-8D69-6371F4163BDE}">
  <dimension ref="A1:F15"/>
  <sheetViews>
    <sheetView topLeftCell="B1" workbookViewId="0">
      <selection activeCell="B15" sqref="B15"/>
    </sheetView>
  </sheetViews>
  <sheetFormatPr defaultRowHeight="15" x14ac:dyDescent="0.25"/>
  <cols>
    <col min="1" max="1" width="34.28515625" bestFit="1" customWidth="1"/>
    <col min="2" max="2" width="6.28515625" bestFit="1" customWidth="1"/>
    <col min="3" max="3" width="19.42578125" bestFit="1" customWidth="1"/>
    <col min="4" max="4" width="22.7109375" bestFit="1" customWidth="1"/>
    <col min="5" max="5" width="4.85546875" bestFit="1" customWidth="1"/>
    <col min="6" max="6" width="52.85546875" bestFit="1" customWidth="1"/>
  </cols>
  <sheetData>
    <row r="1" spans="1:6" s="1" customFormat="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0</v>
      </c>
      <c r="F1" s="2" t="s">
        <v>1</v>
      </c>
    </row>
    <row r="2" spans="1:6" x14ac:dyDescent="0.25">
      <c r="A2" t="s">
        <v>6</v>
      </c>
      <c r="B2">
        <v>1</v>
      </c>
      <c r="C2">
        <v>74.099999999999994</v>
      </c>
      <c r="D2">
        <v>74.099999999999994</v>
      </c>
      <c r="F2" t="s">
        <v>53</v>
      </c>
    </row>
    <row r="3" spans="1:6" x14ac:dyDescent="0.25">
      <c r="A3" t="s">
        <v>7</v>
      </c>
      <c r="B3">
        <v>1</v>
      </c>
      <c r="C3">
        <v>56.1</v>
      </c>
      <c r="D3">
        <v>56.1</v>
      </c>
      <c r="F3" t="s">
        <v>53</v>
      </c>
    </row>
    <row r="4" spans="1:6" x14ac:dyDescent="0.25">
      <c r="A4" t="s">
        <v>8</v>
      </c>
      <c r="B4">
        <v>1</v>
      </c>
      <c r="C4">
        <v>69.3</v>
      </c>
      <c r="D4">
        <v>69.3</v>
      </c>
      <c r="F4" t="s">
        <v>53</v>
      </c>
    </row>
    <row r="5" spans="1:6" x14ac:dyDescent="0.25">
      <c r="A5" t="s">
        <v>43</v>
      </c>
      <c r="B5">
        <v>1</v>
      </c>
      <c r="C5">
        <v>1960</v>
      </c>
      <c r="D5">
        <v>1960</v>
      </c>
      <c r="F5" t="s">
        <v>54</v>
      </c>
    </row>
    <row r="6" spans="1:6" x14ac:dyDescent="0.25">
      <c r="A6" t="s">
        <v>22</v>
      </c>
      <c r="B6">
        <v>1</v>
      </c>
      <c r="C6">
        <v>1908</v>
      </c>
      <c r="D6">
        <v>1908</v>
      </c>
      <c r="F6" t="s">
        <v>54</v>
      </c>
    </row>
    <row r="7" spans="1:6" x14ac:dyDescent="0.25">
      <c r="A7" t="s">
        <v>23</v>
      </c>
      <c r="B7">
        <v>1</v>
      </c>
      <c r="C7">
        <v>2256</v>
      </c>
      <c r="D7">
        <v>2256</v>
      </c>
      <c r="F7" t="s">
        <v>54</v>
      </c>
    </row>
    <row r="8" spans="1:6" x14ac:dyDescent="0.25">
      <c r="A8" t="s">
        <v>24</v>
      </c>
      <c r="B8">
        <v>1</v>
      </c>
      <c r="C8">
        <v>1530</v>
      </c>
      <c r="D8">
        <v>1530</v>
      </c>
      <c r="F8" t="s">
        <v>54</v>
      </c>
    </row>
    <row r="9" spans="1:6" x14ac:dyDescent="0.25">
      <c r="A9" t="s">
        <v>25</v>
      </c>
      <c r="B9">
        <v>1</v>
      </c>
      <c r="C9">
        <v>4728</v>
      </c>
      <c r="D9">
        <v>4728</v>
      </c>
      <c r="F9" t="s">
        <v>54</v>
      </c>
    </row>
    <row r="10" spans="1:6" x14ac:dyDescent="0.25">
      <c r="A10" t="s">
        <v>26</v>
      </c>
      <c r="B10">
        <v>1</v>
      </c>
      <c r="C10">
        <v>771</v>
      </c>
      <c r="D10">
        <v>771</v>
      </c>
      <c r="F10" t="s">
        <v>54</v>
      </c>
    </row>
    <row r="11" spans="1:6" x14ac:dyDescent="0.25">
      <c r="A11" t="s">
        <v>27</v>
      </c>
      <c r="B11">
        <v>1</v>
      </c>
      <c r="C11">
        <v>2508</v>
      </c>
      <c r="D11">
        <v>2508</v>
      </c>
      <c r="F11" t="s">
        <v>54</v>
      </c>
    </row>
    <row r="12" spans="1:6" x14ac:dyDescent="0.25">
      <c r="A12" t="s">
        <v>28</v>
      </c>
      <c r="B12">
        <v>1</v>
      </c>
      <c r="C12">
        <v>90.4</v>
      </c>
      <c r="D12">
        <v>90.4</v>
      </c>
      <c r="F12" t="s">
        <v>54</v>
      </c>
    </row>
    <row r="14" spans="1:6" x14ac:dyDescent="0.25">
      <c r="A14" t="s">
        <v>9</v>
      </c>
      <c r="B14">
        <v>2</v>
      </c>
      <c r="C14">
        <v>0.71</v>
      </c>
      <c r="D14">
        <v>0.71</v>
      </c>
      <c r="F14" t="s">
        <v>55</v>
      </c>
    </row>
    <row r="15" spans="1:6" x14ac:dyDescent="0.25">
      <c r="A15" t="s">
        <v>10</v>
      </c>
      <c r="B15">
        <v>2</v>
      </c>
      <c r="C15">
        <v>0.71</v>
      </c>
      <c r="F1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EEA8-CD8A-4FB2-82D4-A3C56AD19B93}">
  <dimension ref="A1:G22"/>
  <sheetViews>
    <sheetView workbookViewId="0">
      <selection activeCell="K14" sqref="K14"/>
    </sheetView>
  </sheetViews>
  <sheetFormatPr defaultRowHeight="15" x14ac:dyDescent="0.25"/>
  <cols>
    <col min="1" max="1" width="8.42578125" customWidth="1"/>
    <col min="2" max="2" width="29.140625" bestFit="1" customWidth="1"/>
    <col min="3" max="3" width="12.42578125" customWidth="1"/>
    <col min="4" max="4" width="11.140625" customWidth="1"/>
    <col min="5" max="5" width="19" customWidth="1"/>
    <col min="6" max="6" width="20.28515625" customWidth="1"/>
    <col min="7" max="7" width="18.7109375" customWidth="1"/>
  </cols>
  <sheetData>
    <row r="1" spans="1:7" s="1" customFormat="1" x14ac:dyDescent="0.25">
      <c r="A1" s="2" t="s">
        <v>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42</v>
      </c>
      <c r="G1" s="2" t="s">
        <v>18</v>
      </c>
    </row>
    <row r="2" spans="1:7" x14ac:dyDescent="0.25">
      <c r="A2">
        <v>1</v>
      </c>
      <c r="B2" t="s">
        <v>21</v>
      </c>
      <c r="C2">
        <v>54233</v>
      </c>
      <c r="D2" t="s">
        <v>19</v>
      </c>
      <c r="E2" t="s">
        <v>19</v>
      </c>
      <c r="F2">
        <f>IF(E2="GJ",C2)</f>
        <v>54233</v>
      </c>
    </row>
    <row r="3" spans="1:7" x14ac:dyDescent="0.25">
      <c r="A3">
        <v>1</v>
      </c>
      <c r="B3" t="s">
        <v>43</v>
      </c>
      <c r="C3">
        <v>101</v>
      </c>
      <c r="D3" t="s">
        <v>13</v>
      </c>
      <c r="E3" t="s">
        <v>13</v>
      </c>
      <c r="F3">
        <f>IF(E3="kg", C3)</f>
        <v>101</v>
      </c>
    </row>
    <row r="4" spans="1:7" x14ac:dyDescent="0.25">
      <c r="A4">
        <v>1</v>
      </c>
      <c r="B4" t="s">
        <v>22</v>
      </c>
      <c r="C4">
        <v>306</v>
      </c>
      <c r="D4" t="s">
        <v>13</v>
      </c>
      <c r="E4" t="s">
        <v>13</v>
      </c>
      <c r="F4">
        <f t="shared" ref="F4:F10" si="0">IF(E4="kg", C4)</f>
        <v>306</v>
      </c>
    </row>
    <row r="5" spans="1:7" x14ac:dyDescent="0.25">
      <c r="A5">
        <v>1</v>
      </c>
      <c r="B5" t="s">
        <v>23</v>
      </c>
      <c r="C5">
        <v>2224.44</v>
      </c>
      <c r="D5" t="s">
        <v>13</v>
      </c>
      <c r="E5" t="s">
        <v>13</v>
      </c>
      <c r="F5">
        <f t="shared" si="0"/>
        <v>2224.44</v>
      </c>
    </row>
    <row r="6" spans="1:7" x14ac:dyDescent="0.25">
      <c r="A6">
        <v>1</v>
      </c>
      <c r="B6" t="s">
        <v>24</v>
      </c>
      <c r="C6">
        <v>1290</v>
      </c>
      <c r="D6" t="s">
        <v>13</v>
      </c>
      <c r="E6" t="s">
        <v>13</v>
      </c>
      <c r="F6">
        <f t="shared" si="0"/>
        <v>1290</v>
      </c>
    </row>
    <row r="7" spans="1:7" x14ac:dyDescent="0.25">
      <c r="A7">
        <v>1</v>
      </c>
      <c r="B7" t="s">
        <v>25</v>
      </c>
      <c r="C7">
        <v>3.8</v>
      </c>
      <c r="D7" t="s">
        <v>13</v>
      </c>
      <c r="E7" t="s">
        <v>13</v>
      </c>
      <c r="F7">
        <f t="shared" si="0"/>
        <v>3.8</v>
      </c>
    </row>
    <row r="8" spans="1:7" x14ac:dyDescent="0.25">
      <c r="A8">
        <v>1</v>
      </c>
      <c r="B8" t="s">
        <v>26</v>
      </c>
      <c r="C8">
        <v>13.4</v>
      </c>
      <c r="D8" t="s">
        <v>13</v>
      </c>
      <c r="E8" t="s">
        <v>13</v>
      </c>
      <c r="F8">
        <f t="shared" si="0"/>
        <v>13.4</v>
      </c>
    </row>
    <row r="9" spans="1:7" x14ac:dyDescent="0.25">
      <c r="A9">
        <v>1</v>
      </c>
      <c r="B9" t="s">
        <v>27</v>
      </c>
      <c r="C9">
        <v>4.25</v>
      </c>
      <c r="D9" t="s">
        <v>13</v>
      </c>
      <c r="E9" t="s">
        <v>13</v>
      </c>
      <c r="F9">
        <f t="shared" si="0"/>
        <v>4.25</v>
      </c>
    </row>
    <row r="10" spans="1:7" x14ac:dyDescent="0.25">
      <c r="A10">
        <v>1</v>
      </c>
      <c r="B10" t="s">
        <v>28</v>
      </c>
      <c r="C10">
        <v>32</v>
      </c>
      <c r="D10" t="s">
        <v>13</v>
      </c>
      <c r="E10" t="s">
        <v>13</v>
      </c>
      <c r="F10">
        <f t="shared" si="0"/>
        <v>32</v>
      </c>
    </row>
    <row r="12" spans="1:7" x14ac:dyDescent="0.25">
      <c r="A12">
        <v>2</v>
      </c>
      <c r="B12" t="s">
        <v>30</v>
      </c>
      <c r="C12">
        <v>196321</v>
      </c>
      <c r="D12" t="s">
        <v>19</v>
      </c>
      <c r="E12" t="s">
        <v>29</v>
      </c>
      <c r="F12">
        <f>C12*277.77</f>
        <v>54532084.169999994</v>
      </c>
    </row>
    <row r="13" spans="1:7" x14ac:dyDescent="0.25">
      <c r="A13">
        <v>2</v>
      </c>
      <c r="B13" t="s">
        <v>20</v>
      </c>
      <c r="C13">
        <v>636639</v>
      </c>
      <c r="D13" t="s">
        <v>19</v>
      </c>
      <c r="E13" t="s">
        <v>29</v>
      </c>
      <c r="F13">
        <f>C13*277.77</f>
        <v>176839215.03</v>
      </c>
    </row>
    <row r="15" spans="1:7" x14ac:dyDescent="0.25">
      <c r="A15">
        <v>3</v>
      </c>
      <c r="B15" t="s">
        <v>11</v>
      </c>
      <c r="C15">
        <v>55825</v>
      </c>
      <c r="D15" t="s">
        <v>31</v>
      </c>
    </row>
    <row r="16" spans="1:7" x14ac:dyDescent="0.25">
      <c r="A16">
        <v>3</v>
      </c>
      <c r="B16" t="s">
        <v>12</v>
      </c>
      <c r="C16">
        <v>44495</v>
      </c>
      <c r="D16" t="s">
        <v>31</v>
      </c>
    </row>
    <row r="17" spans="1:4" x14ac:dyDescent="0.25">
      <c r="A17">
        <v>3</v>
      </c>
      <c r="B17" t="s">
        <v>32</v>
      </c>
      <c r="C17">
        <v>5053</v>
      </c>
      <c r="D17" t="s">
        <v>31</v>
      </c>
    </row>
    <row r="18" spans="1:4" x14ac:dyDescent="0.25">
      <c r="A18">
        <v>3</v>
      </c>
      <c r="B18" t="s">
        <v>33</v>
      </c>
      <c r="C18">
        <v>1948</v>
      </c>
      <c r="D18" t="s">
        <v>31</v>
      </c>
    </row>
    <row r="19" spans="1:4" x14ac:dyDescent="0.25">
      <c r="A19">
        <v>3</v>
      </c>
      <c r="B19" t="s">
        <v>34</v>
      </c>
      <c r="C19">
        <v>87</v>
      </c>
      <c r="D19" t="s">
        <v>31</v>
      </c>
    </row>
    <row r="20" spans="1:4" x14ac:dyDescent="0.25">
      <c r="A20">
        <v>3</v>
      </c>
      <c r="B20" t="s">
        <v>44</v>
      </c>
      <c r="C20">
        <v>37879</v>
      </c>
      <c r="D20" t="s">
        <v>31</v>
      </c>
    </row>
    <row r="21" spans="1:4" x14ac:dyDescent="0.25">
      <c r="A21">
        <v>3</v>
      </c>
      <c r="B21" t="s">
        <v>35</v>
      </c>
      <c r="C21">
        <v>31889</v>
      </c>
      <c r="D21" t="s">
        <v>31</v>
      </c>
    </row>
    <row r="22" spans="1:4" x14ac:dyDescent="0.25">
      <c r="A22">
        <v>3</v>
      </c>
      <c r="B22" t="s">
        <v>36</v>
      </c>
      <c r="C22">
        <v>30198</v>
      </c>
      <c r="D22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A3BF-60D1-4FE2-912B-3BEE4D168B88}">
  <dimension ref="A1:F33"/>
  <sheetViews>
    <sheetView topLeftCell="A9" zoomScale="92" zoomScaleNormal="92" workbookViewId="0">
      <selection activeCell="F17" sqref="F17"/>
    </sheetView>
  </sheetViews>
  <sheetFormatPr defaultRowHeight="15" x14ac:dyDescent="0.25"/>
  <cols>
    <col min="1" max="1" width="29.140625" style="1" bestFit="1" customWidth="1"/>
    <col min="2" max="2" width="18.42578125" style="1" bestFit="1" customWidth="1"/>
    <col min="3" max="3" width="16.7109375" style="1" bestFit="1" customWidth="1"/>
    <col min="4" max="4" width="22.5703125" style="1" bestFit="1" customWidth="1"/>
    <col min="5" max="5" width="18.140625" style="1" bestFit="1" customWidth="1"/>
    <col min="6" max="6" width="16.7109375" style="1" bestFit="1" customWidth="1"/>
    <col min="7" max="16384" width="9.140625" style="1"/>
  </cols>
  <sheetData>
    <row r="1" spans="1:6" x14ac:dyDescent="0.25">
      <c r="A1" s="2" t="s">
        <v>5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x14ac:dyDescent="0.25">
      <c r="A2" s="5" t="s">
        <v>48</v>
      </c>
      <c r="B2" s="6"/>
      <c r="C2" s="6"/>
      <c r="D2" s="6"/>
      <c r="E2" s="6"/>
      <c r="F2" s="6"/>
    </row>
    <row r="3" spans="1:6" x14ac:dyDescent="0.25">
      <c r="A3" s="1" t="str">
        <f>'Activity sources'!B2</f>
        <v>Consolidated(HSD, Petrol,PNG)</v>
      </c>
      <c r="B3" s="1">
        <f>'Activity sources'!F2</f>
        <v>54233</v>
      </c>
      <c r="C3" s="1" t="s">
        <v>19</v>
      </c>
      <c r="D3" s="1">
        <v>67.62</v>
      </c>
      <c r="E3" s="1">
        <f>B3*D3</f>
        <v>3667235.4600000004</v>
      </c>
      <c r="F3" s="1">
        <f>E3/1000</f>
        <v>3667.2354600000003</v>
      </c>
    </row>
    <row r="4" spans="1:6" x14ac:dyDescent="0.25">
      <c r="A4" s="1" t="str">
        <f>'Activity sources'!B3</f>
        <v>Refrigerant R22</v>
      </c>
      <c r="B4" s="1">
        <f>'Activity sources'!F3</f>
        <v>101</v>
      </c>
      <c r="C4" s="1" t="s">
        <v>13</v>
      </c>
      <c r="D4" s="1">
        <f>IF(A4='Emission Factor'!A5,'Emission Factor'!C5, "Not found")</f>
        <v>1960</v>
      </c>
      <c r="E4" s="1">
        <f t="shared" ref="E4:E11" si="0">B4*D4</f>
        <v>197960</v>
      </c>
      <c r="F4" s="1">
        <f t="shared" ref="F4:F11" si="1">E4/1000</f>
        <v>197.96</v>
      </c>
    </row>
    <row r="5" spans="1:6" x14ac:dyDescent="0.25">
      <c r="A5" s="1" t="str">
        <f>'Activity sources'!B4</f>
        <v>Refrigerant R407C</v>
      </c>
      <c r="B5" s="1">
        <f>'Activity sources'!F4</f>
        <v>306</v>
      </c>
      <c r="C5" s="1" t="s">
        <v>13</v>
      </c>
      <c r="D5" s="1">
        <f>IF(A5='Emission Factor'!A6,'Emission Factor'!C6, "Not found")</f>
        <v>1908</v>
      </c>
      <c r="E5" s="1">
        <f t="shared" si="0"/>
        <v>583848</v>
      </c>
      <c r="F5" s="1">
        <f t="shared" si="1"/>
        <v>583.84799999999996</v>
      </c>
    </row>
    <row r="6" spans="1:6" x14ac:dyDescent="0.25">
      <c r="A6" s="1" t="str">
        <f>'Activity sources'!B5</f>
        <v>Refrigerant R410A</v>
      </c>
      <c r="B6" s="1">
        <f>'Activity sources'!F5</f>
        <v>2224.44</v>
      </c>
      <c r="C6" s="1" t="s">
        <v>13</v>
      </c>
      <c r="D6" s="1">
        <f>IF(A6='Emission Factor'!A7,'Emission Factor'!C7, "Not found")</f>
        <v>2256</v>
      </c>
      <c r="E6" s="1">
        <f t="shared" si="0"/>
        <v>5018336.6399999997</v>
      </c>
      <c r="F6" s="1">
        <f t="shared" si="1"/>
        <v>5018.3366399999995</v>
      </c>
    </row>
    <row r="7" spans="1:6" x14ac:dyDescent="0.25">
      <c r="A7" s="1" t="str">
        <f>'Activity sources'!B6</f>
        <v>Refrigerant R134A</v>
      </c>
      <c r="B7" s="1">
        <f>'Activity sources'!F6</f>
        <v>1290</v>
      </c>
      <c r="C7" s="1" t="s">
        <v>13</v>
      </c>
      <c r="D7" s="1">
        <f>IF(A7='Emission Factor'!A8,'Emission Factor'!C8, "Not found")</f>
        <v>1530</v>
      </c>
      <c r="E7" s="1">
        <f t="shared" si="0"/>
        <v>1973700</v>
      </c>
      <c r="F7" s="1">
        <f t="shared" si="1"/>
        <v>1973.7</v>
      </c>
    </row>
    <row r="8" spans="1:6" x14ac:dyDescent="0.25">
      <c r="A8" s="1" t="str">
        <f>'Activity sources'!B7</f>
        <v>Refrigerant R404A</v>
      </c>
      <c r="B8" s="1">
        <f>'Activity sources'!F7</f>
        <v>3.8</v>
      </c>
      <c r="C8" s="1" t="s">
        <v>13</v>
      </c>
      <c r="D8" s="1">
        <f>IF(A8='Emission Factor'!A9,'Emission Factor'!C9, "Not found")</f>
        <v>4728</v>
      </c>
      <c r="E8" s="1">
        <f t="shared" si="0"/>
        <v>17966.399999999998</v>
      </c>
      <c r="F8" s="1">
        <f t="shared" si="1"/>
        <v>17.966399999999997</v>
      </c>
    </row>
    <row r="9" spans="1:6" x14ac:dyDescent="0.25">
      <c r="A9" s="1" t="str">
        <f>'Activity sources'!B8</f>
        <v>Refrigerant R32</v>
      </c>
      <c r="B9" s="1">
        <f>'Activity sources'!F8</f>
        <v>13.4</v>
      </c>
      <c r="C9" s="1" t="s">
        <v>13</v>
      </c>
      <c r="D9" s="1">
        <f>IF(A9='Emission Factor'!A10,'Emission Factor'!C10, "Not found")</f>
        <v>771</v>
      </c>
      <c r="E9" s="1">
        <f t="shared" si="0"/>
        <v>10331.4</v>
      </c>
      <c r="F9" s="1">
        <f t="shared" si="1"/>
        <v>10.3314</v>
      </c>
    </row>
    <row r="10" spans="1:6" x14ac:dyDescent="0.25">
      <c r="A10" s="1" t="str">
        <f>'Activity sources'!B9</f>
        <v>Refrigerant R417A</v>
      </c>
      <c r="B10" s="1">
        <f>'Activity sources'!F9</f>
        <v>4.25</v>
      </c>
      <c r="C10" s="1" t="s">
        <v>13</v>
      </c>
      <c r="D10" s="1">
        <f>IF(A10='Emission Factor'!A11,'Emission Factor'!C11, "Not found")</f>
        <v>2508</v>
      </c>
      <c r="E10" s="1">
        <f t="shared" si="0"/>
        <v>10659</v>
      </c>
      <c r="F10" s="1">
        <f t="shared" si="1"/>
        <v>10.659000000000001</v>
      </c>
    </row>
    <row r="11" spans="1:6" x14ac:dyDescent="0.25">
      <c r="A11" s="1" t="str">
        <f>'Activity sources'!B10</f>
        <v>Refrigerant R123</v>
      </c>
      <c r="B11" s="1">
        <f>'Activity sources'!F10</f>
        <v>32</v>
      </c>
      <c r="C11" s="1" t="s">
        <v>13</v>
      </c>
      <c r="D11" s="1">
        <f>IF(A11='Emission Factor'!A12,'Emission Factor'!C12, "Not found")</f>
        <v>90.4</v>
      </c>
      <c r="E11" s="1">
        <f t="shared" si="0"/>
        <v>2892.8</v>
      </c>
      <c r="F11" s="1">
        <f t="shared" si="1"/>
        <v>2.8928000000000003</v>
      </c>
    </row>
    <row r="12" spans="1:6" x14ac:dyDescent="0.25">
      <c r="A12" s="3" t="s">
        <v>45</v>
      </c>
      <c r="B12" s="3"/>
      <c r="C12" s="3"/>
      <c r="D12" s="3"/>
      <c r="E12" s="3"/>
      <c r="F12" s="3">
        <f>SUM(F3:F11)</f>
        <v>11482.929699999999</v>
      </c>
    </row>
    <row r="14" spans="1:6" x14ac:dyDescent="0.25">
      <c r="A14" s="7" t="s">
        <v>49</v>
      </c>
      <c r="B14" s="7"/>
      <c r="C14" s="7"/>
      <c r="D14" s="7"/>
      <c r="E14" s="7"/>
      <c r="F14" s="7"/>
    </row>
    <row r="15" spans="1:6" x14ac:dyDescent="0.25">
      <c r="A15" s="1" t="str">
        <f>'Activity sources'!B12</f>
        <v>Grid Electricity</v>
      </c>
      <c r="B15" s="1">
        <f>'Activity sources'!F12</f>
        <v>54532084.169999994</v>
      </c>
      <c r="C15" s="1" t="s">
        <v>29</v>
      </c>
      <c r="D15" s="1">
        <f>'Emission Factor'!C14</f>
        <v>0.71</v>
      </c>
      <c r="E15" s="1">
        <f>B15*D15</f>
        <v>38717779.760699995</v>
      </c>
      <c r="F15" s="1">
        <f>E15/1000</f>
        <v>38717.779760699996</v>
      </c>
    </row>
    <row r="16" spans="1:6" x14ac:dyDescent="0.25">
      <c r="A16" s="1" t="str">
        <f>'Activity sources'!B13</f>
        <v>Renewable Electricity</v>
      </c>
      <c r="B16" s="1">
        <f>'Activity sources'!F13</f>
        <v>176839215.03</v>
      </c>
      <c r="C16" s="1" t="s">
        <v>29</v>
      </c>
      <c r="D16" s="1">
        <f>'Emission Factor'!C15</f>
        <v>0.71</v>
      </c>
      <c r="E16" s="1">
        <f>B16*D16</f>
        <v>125555842.67129999</v>
      </c>
      <c r="F16" s="1">
        <f>E16/1000</f>
        <v>125555.84267129999</v>
      </c>
    </row>
    <row r="17" spans="1:6" x14ac:dyDescent="0.25">
      <c r="A17" s="4" t="s">
        <v>47</v>
      </c>
      <c r="B17" s="4">
        <f>SUM(B15:B16)</f>
        <v>231371299.19999999</v>
      </c>
      <c r="C17" s="4" t="s">
        <v>29</v>
      </c>
      <c r="D17" s="4">
        <v>0.71</v>
      </c>
      <c r="E17" s="4">
        <f>B17*D17</f>
        <v>164273622.43199998</v>
      </c>
      <c r="F17" s="4">
        <f>E17/1000</f>
        <v>164273.62243199997</v>
      </c>
    </row>
    <row r="18" spans="1:6" x14ac:dyDescent="0.25">
      <c r="A18" s="4" t="s">
        <v>50</v>
      </c>
      <c r="B18" s="4">
        <f>B15</f>
        <v>54532084.169999994</v>
      </c>
      <c r="C18" s="4" t="s">
        <v>29</v>
      </c>
      <c r="D18" s="4">
        <v>0.71</v>
      </c>
      <c r="E18" s="4">
        <f>B18*D18</f>
        <v>38717779.760699995</v>
      </c>
      <c r="F18" s="4">
        <f>E18/1000</f>
        <v>38717.779760699996</v>
      </c>
    </row>
    <row r="20" spans="1:6" x14ac:dyDescent="0.25">
      <c r="A20" s="7" t="s">
        <v>51</v>
      </c>
      <c r="B20" s="7"/>
      <c r="C20" s="7"/>
      <c r="D20" s="7"/>
      <c r="E20" s="7"/>
      <c r="F20" s="7"/>
    </row>
    <row r="21" spans="1:6" x14ac:dyDescent="0.25">
      <c r="A21" s="1" t="str">
        <f>'Activity sources'!B15</f>
        <v>Business Travel</v>
      </c>
      <c r="B21" s="1">
        <f>'Activity sources'!C15</f>
        <v>55825</v>
      </c>
      <c r="F21" s="1">
        <f>B21</f>
        <v>55825</v>
      </c>
    </row>
    <row r="22" spans="1:6" x14ac:dyDescent="0.25">
      <c r="A22" s="1" t="str">
        <f>'Activity sources'!B16</f>
        <v>Employee Commuting</v>
      </c>
      <c r="B22" s="1">
        <f>'Activity sources'!C16</f>
        <v>44495</v>
      </c>
      <c r="F22" s="1">
        <f t="shared" ref="F22:F28" si="2">B22</f>
        <v>44495</v>
      </c>
    </row>
    <row r="23" spans="1:6" x14ac:dyDescent="0.25">
      <c r="A23" s="1" t="str">
        <f>'Activity sources'!B17</f>
        <v>T&amp;D Loss</v>
      </c>
      <c r="B23" s="1">
        <f>'Activity sources'!C17</f>
        <v>5053</v>
      </c>
      <c r="F23" s="1">
        <f t="shared" si="2"/>
        <v>5053</v>
      </c>
    </row>
    <row r="24" spans="1:6" x14ac:dyDescent="0.25">
      <c r="A24" s="1" t="str">
        <f>'Activity sources'!B18</f>
        <v>Upstream Leased Asset</v>
      </c>
      <c r="B24" s="1">
        <f>'Activity sources'!C18</f>
        <v>1948</v>
      </c>
      <c r="F24" s="1">
        <f t="shared" si="2"/>
        <v>1948</v>
      </c>
    </row>
    <row r="25" spans="1:6" x14ac:dyDescent="0.25">
      <c r="A25" s="1" t="str">
        <f>'Activity sources'!B19</f>
        <v>Waste Generated in Operation</v>
      </c>
      <c r="B25" s="1">
        <f>'Activity sources'!C19</f>
        <v>87</v>
      </c>
      <c r="F25" s="1">
        <f t="shared" si="2"/>
        <v>87</v>
      </c>
    </row>
    <row r="26" spans="1:6" x14ac:dyDescent="0.25">
      <c r="A26" s="1" t="str">
        <f>'Activity sources'!B20</f>
        <v>Work from Home Emission</v>
      </c>
      <c r="B26" s="1">
        <f>'Activity sources'!C20</f>
        <v>37879</v>
      </c>
      <c r="F26" s="1">
        <f t="shared" si="2"/>
        <v>37879</v>
      </c>
    </row>
    <row r="27" spans="1:6" x14ac:dyDescent="0.25">
      <c r="A27" s="1" t="str">
        <f>'Activity sources'!B21</f>
        <v xml:space="preserve"> Capital Goods</v>
      </c>
      <c r="B27" s="1">
        <f>'Activity sources'!C21</f>
        <v>31889</v>
      </c>
      <c r="F27" s="1">
        <f t="shared" si="2"/>
        <v>31889</v>
      </c>
    </row>
    <row r="28" spans="1:6" x14ac:dyDescent="0.25">
      <c r="A28" s="1" t="str">
        <f>'Activity sources'!B22</f>
        <v>Purchased Goods and services</v>
      </c>
      <c r="B28" s="1">
        <f>'Activity sources'!C22</f>
        <v>30198</v>
      </c>
      <c r="F28" s="1">
        <f t="shared" si="2"/>
        <v>30198</v>
      </c>
    </row>
    <row r="29" spans="1:6" x14ac:dyDescent="0.25">
      <c r="A29" s="3" t="s">
        <v>46</v>
      </c>
      <c r="B29" s="3"/>
      <c r="C29" s="3"/>
      <c r="D29" s="3"/>
      <c r="E29" s="3"/>
      <c r="F29" s="3">
        <f>SUM(F21:F28)</f>
        <v>207374</v>
      </c>
    </row>
    <row r="31" spans="1:6" x14ac:dyDescent="0.25">
      <c r="A31" s="4" t="s">
        <v>52</v>
      </c>
      <c r="B31" s="4"/>
      <c r="C31" s="4"/>
      <c r="D31" s="4"/>
      <c r="E31" s="4"/>
      <c r="F31" s="4">
        <f>SUM(F12,F18,F29)</f>
        <v>257574.70946069999</v>
      </c>
    </row>
    <row r="33" spans="1:6" x14ac:dyDescent="0.25">
      <c r="A33" s="9" t="s">
        <v>88</v>
      </c>
      <c r="B33" s="9"/>
      <c r="C33" s="9"/>
      <c r="D33" s="9"/>
      <c r="E33" s="9"/>
      <c r="F33" s="9">
        <v>253208</v>
      </c>
    </row>
  </sheetData>
  <mergeCells count="3">
    <mergeCell ref="A2:F2"/>
    <mergeCell ref="A14:F14"/>
    <mergeCell ref="A20:F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F53C-57E9-4D8E-9679-21734209CEFD}">
  <dimension ref="A1:C10"/>
  <sheetViews>
    <sheetView workbookViewId="0">
      <selection activeCell="C6" sqref="C6"/>
    </sheetView>
  </sheetViews>
  <sheetFormatPr defaultRowHeight="15" x14ac:dyDescent="0.25"/>
  <cols>
    <col min="1" max="3" width="22" customWidth="1"/>
  </cols>
  <sheetData>
    <row r="1" spans="1:3" x14ac:dyDescent="0.25">
      <c r="A1" s="8" t="s">
        <v>63</v>
      </c>
      <c r="B1" s="8" t="s">
        <v>4</v>
      </c>
      <c r="C1" s="8" t="s">
        <v>62</v>
      </c>
    </row>
    <row r="2" spans="1:3" x14ac:dyDescent="0.25">
      <c r="A2" t="s">
        <v>59</v>
      </c>
      <c r="B2" t="s">
        <v>61</v>
      </c>
      <c r="C2">
        <v>7150</v>
      </c>
    </row>
    <row r="3" spans="1:3" x14ac:dyDescent="0.25">
      <c r="A3" t="s">
        <v>58</v>
      </c>
      <c r="B3" t="s">
        <v>61</v>
      </c>
      <c r="C3">
        <v>8745</v>
      </c>
    </row>
    <row r="4" spans="1:3" x14ac:dyDescent="0.25">
      <c r="A4" t="s">
        <v>57</v>
      </c>
      <c r="B4" t="s">
        <v>61</v>
      </c>
      <c r="C4">
        <v>11483</v>
      </c>
    </row>
    <row r="5" spans="1:3" x14ac:dyDescent="0.25">
      <c r="A5" t="s">
        <v>59</v>
      </c>
      <c r="B5" t="s">
        <v>60</v>
      </c>
      <c r="C5">
        <v>55881</v>
      </c>
    </row>
    <row r="6" spans="1:3" x14ac:dyDescent="0.25">
      <c r="A6" t="s">
        <v>58</v>
      </c>
      <c r="B6" t="s">
        <v>60</v>
      </c>
      <c r="C6">
        <v>38586</v>
      </c>
    </row>
    <row r="7" spans="1:3" x14ac:dyDescent="0.25">
      <c r="A7" t="s">
        <v>57</v>
      </c>
      <c r="B7" t="s">
        <v>60</v>
      </c>
      <c r="C7">
        <v>34351</v>
      </c>
    </row>
    <row r="8" spans="1:3" x14ac:dyDescent="0.25">
      <c r="A8" t="s">
        <v>59</v>
      </c>
      <c r="B8" t="s">
        <v>56</v>
      </c>
      <c r="C8">
        <v>212124</v>
      </c>
    </row>
    <row r="9" spans="1:3" x14ac:dyDescent="0.25">
      <c r="A9" t="s">
        <v>58</v>
      </c>
      <c r="B9" t="s">
        <v>56</v>
      </c>
      <c r="C9">
        <v>208659</v>
      </c>
    </row>
    <row r="10" spans="1:3" x14ac:dyDescent="0.25">
      <c r="A10" t="s">
        <v>57</v>
      </c>
      <c r="B10" t="s">
        <v>56</v>
      </c>
      <c r="C10">
        <v>207374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5441-6BAD-4F5B-92ED-5677B66B101C}">
  <dimension ref="A1:B9"/>
  <sheetViews>
    <sheetView workbookViewId="0"/>
  </sheetViews>
  <sheetFormatPr defaultRowHeight="15" x14ac:dyDescent="0.25"/>
  <cols>
    <col min="1" max="2" width="22" customWidth="1"/>
  </cols>
  <sheetData>
    <row r="1" spans="1:2" x14ac:dyDescent="0.25">
      <c r="A1" s="8" t="s">
        <v>81</v>
      </c>
      <c r="B1" s="8" t="s">
        <v>62</v>
      </c>
    </row>
    <row r="2" spans="1:2" x14ac:dyDescent="0.25">
      <c r="A2" t="s">
        <v>80</v>
      </c>
      <c r="B2">
        <v>5018.3</v>
      </c>
    </row>
    <row r="3" spans="1:2" x14ac:dyDescent="0.25">
      <c r="A3" t="s">
        <v>79</v>
      </c>
      <c r="B3">
        <v>1973.7</v>
      </c>
    </row>
    <row r="4" spans="1:2" x14ac:dyDescent="0.25">
      <c r="A4" t="s">
        <v>78</v>
      </c>
      <c r="B4">
        <v>583.9</v>
      </c>
    </row>
    <row r="5" spans="1:2" x14ac:dyDescent="0.25">
      <c r="A5" t="s">
        <v>77</v>
      </c>
      <c r="B5">
        <v>198</v>
      </c>
    </row>
    <row r="6" spans="1:2" x14ac:dyDescent="0.25">
      <c r="A6" t="s">
        <v>76</v>
      </c>
      <c r="B6">
        <v>10.7</v>
      </c>
    </row>
    <row r="7" spans="1:2" x14ac:dyDescent="0.25">
      <c r="A7" t="s">
        <v>75</v>
      </c>
      <c r="B7">
        <v>18</v>
      </c>
    </row>
    <row r="8" spans="1:2" x14ac:dyDescent="0.25">
      <c r="A8" t="s">
        <v>74</v>
      </c>
      <c r="B8">
        <v>10.3</v>
      </c>
    </row>
    <row r="9" spans="1:2" x14ac:dyDescent="0.25">
      <c r="A9" t="s">
        <v>73</v>
      </c>
      <c r="B9">
        <v>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F7A2-E5AE-4463-9921-85C5BAC55808}">
  <dimension ref="A1:C5"/>
  <sheetViews>
    <sheetView workbookViewId="0"/>
  </sheetViews>
  <sheetFormatPr defaultRowHeight="15" x14ac:dyDescent="0.25"/>
  <cols>
    <col min="1" max="3" width="22" customWidth="1"/>
  </cols>
  <sheetData>
    <row r="1" spans="1:3" x14ac:dyDescent="0.25">
      <c r="A1" s="8" t="s">
        <v>87</v>
      </c>
      <c r="B1" s="8" t="s">
        <v>86</v>
      </c>
      <c r="C1" s="8" t="s">
        <v>62</v>
      </c>
    </row>
    <row r="2" spans="1:3" x14ac:dyDescent="0.25">
      <c r="A2" t="s">
        <v>85</v>
      </c>
      <c r="B2" t="s">
        <v>84</v>
      </c>
      <c r="C2">
        <v>164278</v>
      </c>
    </row>
    <row r="3" spans="1:3" x14ac:dyDescent="0.25">
      <c r="A3" t="s">
        <v>85</v>
      </c>
      <c r="B3" t="s">
        <v>82</v>
      </c>
      <c r="C3">
        <v>145604</v>
      </c>
    </row>
    <row r="4" spans="1:3" x14ac:dyDescent="0.25">
      <c r="A4" t="s">
        <v>83</v>
      </c>
      <c r="B4" t="s">
        <v>84</v>
      </c>
      <c r="C4">
        <v>38719</v>
      </c>
    </row>
    <row r="5" spans="1:3" x14ac:dyDescent="0.25">
      <c r="A5" t="s">
        <v>83</v>
      </c>
      <c r="B5" t="s">
        <v>82</v>
      </c>
      <c r="C5">
        <v>34351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4C3F-49DA-4029-85F2-A87F829FD3BC}">
  <dimension ref="A1:C25"/>
  <sheetViews>
    <sheetView tabSelected="1" workbookViewId="0">
      <selection activeCell="N5" sqref="N5"/>
    </sheetView>
  </sheetViews>
  <sheetFormatPr defaultRowHeight="15" x14ac:dyDescent="0.25"/>
  <cols>
    <col min="1" max="3" width="22" customWidth="1"/>
  </cols>
  <sheetData>
    <row r="1" spans="1:3" x14ac:dyDescent="0.25">
      <c r="A1" s="8" t="s">
        <v>63</v>
      </c>
      <c r="B1" s="8" t="s">
        <v>72</v>
      </c>
      <c r="C1" s="8" t="s">
        <v>62</v>
      </c>
    </row>
    <row r="2" spans="1:3" x14ac:dyDescent="0.25">
      <c r="A2" t="s">
        <v>59</v>
      </c>
      <c r="B2" t="s">
        <v>71</v>
      </c>
      <c r="C2">
        <v>61764</v>
      </c>
    </row>
    <row r="3" spans="1:3" x14ac:dyDescent="0.25">
      <c r="A3" t="s">
        <v>58</v>
      </c>
      <c r="B3" t="s">
        <v>71</v>
      </c>
      <c r="C3">
        <v>72680</v>
      </c>
    </row>
    <row r="4" spans="1:3" x14ac:dyDescent="0.25">
      <c r="A4" t="s">
        <v>57</v>
      </c>
      <c r="B4" t="s">
        <v>71</v>
      </c>
      <c r="C4">
        <v>55825</v>
      </c>
    </row>
    <row r="5" spans="1:3" x14ac:dyDescent="0.25">
      <c r="A5" t="s">
        <v>59</v>
      </c>
      <c r="B5" t="s">
        <v>70</v>
      </c>
      <c r="C5">
        <v>23397</v>
      </c>
    </row>
    <row r="6" spans="1:3" x14ac:dyDescent="0.25">
      <c r="A6" t="s">
        <v>58</v>
      </c>
      <c r="B6" t="s">
        <v>70</v>
      </c>
      <c r="C6">
        <v>36741</v>
      </c>
    </row>
    <row r="7" spans="1:3" x14ac:dyDescent="0.25">
      <c r="A7" t="s">
        <v>57</v>
      </c>
      <c r="B7" t="s">
        <v>70</v>
      </c>
      <c r="C7">
        <v>44495</v>
      </c>
    </row>
    <row r="8" spans="1:3" x14ac:dyDescent="0.25">
      <c r="A8" t="s">
        <v>59</v>
      </c>
      <c r="B8" t="s">
        <v>69</v>
      </c>
      <c r="C8">
        <v>31495</v>
      </c>
    </row>
    <row r="9" spans="1:3" x14ac:dyDescent="0.25">
      <c r="A9" t="s">
        <v>58</v>
      </c>
      <c r="B9" t="s">
        <v>69</v>
      </c>
      <c r="C9">
        <v>21453</v>
      </c>
    </row>
    <row r="10" spans="1:3" x14ac:dyDescent="0.25">
      <c r="A10" t="s">
        <v>57</v>
      </c>
      <c r="B10" t="s">
        <v>69</v>
      </c>
      <c r="C10">
        <v>37879</v>
      </c>
    </row>
    <row r="11" spans="1:3" x14ac:dyDescent="0.25">
      <c r="A11" t="s">
        <v>59</v>
      </c>
      <c r="B11" t="s">
        <v>68</v>
      </c>
      <c r="C11">
        <v>54009</v>
      </c>
    </row>
    <row r="12" spans="1:3" x14ac:dyDescent="0.25">
      <c r="A12" t="s">
        <v>58</v>
      </c>
      <c r="B12" t="s">
        <v>68</v>
      </c>
      <c r="C12">
        <v>41394</v>
      </c>
    </row>
    <row r="13" spans="1:3" x14ac:dyDescent="0.25">
      <c r="A13" t="s">
        <v>57</v>
      </c>
      <c r="B13" t="s">
        <v>68</v>
      </c>
      <c r="C13">
        <v>31889</v>
      </c>
    </row>
    <row r="14" spans="1:3" x14ac:dyDescent="0.25">
      <c r="A14" t="s">
        <v>59</v>
      </c>
      <c r="B14" t="s">
        <v>67</v>
      </c>
      <c r="C14">
        <v>31387</v>
      </c>
    </row>
    <row r="15" spans="1:3" x14ac:dyDescent="0.25">
      <c r="A15" t="s">
        <v>58</v>
      </c>
      <c r="B15" t="s">
        <v>67</v>
      </c>
      <c r="C15">
        <v>29289</v>
      </c>
    </row>
    <row r="16" spans="1:3" x14ac:dyDescent="0.25">
      <c r="A16" t="s">
        <v>57</v>
      </c>
      <c r="B16" t="s">
        <v>67</v>
      </c>
      <c r="C16">
        <v>30198</v>
      </c>
    </row>
    <row r="17" spans="1:3" x14ac:dyDescent="0.25">
      <c r="A17" t="s">
        <v>59</v>
      </c>
      <c r="B17" t="s">
        <v>66</v>
      </c>
      <c r="C17">
        <v>8395</v>
      </c>
    </row>
    <row r="18" spans="1:3" x14ac:dyDescent="0.25">
      <c r="A18" t="s">
        <v>58</v>
      </c>
      <c r="B18" t="s">
        <v>66</v>
      </c>
      <c r="C18">
        <v>5555</v>
      </c>
    </row>
    <row r="19" spans="1:3" x14ac:dyDescent="0.25">
      <c r="A19" t="s">
        <v>57</v>
      </c>
      <c r="B19" t="s">
        <v>66</v>
      </c>
      <c r="C19">
        <v>5053</v>
      </c>
    </row>
    <row r="20" spans="1:3" x14ac:dyDescent="0.25">
      <c r="A20" t="s">
        <v>59</v>
      </c>
      <c r="B20" t="s">
        <v>65</v>
      </c>
      <c r="C20">
        <v>1170</v>
      </c>
    </row>
    <row r="21" spans="1:3" x14ac:dyDescent="0.25">
      <c r="A21" t="s">
        <v>58</v>
      </c>
      <c r="B21" t="s">
        <v>65</v>
      </c>
      <c r="C21">
        <v>1462</v>
      </c>
    </row>
    <row r="22" spans="1:3" x14ac:dyDescent="0.25">
      <c r="A22" t="s">
        <v>57</v>
      </c>
      <c r="B22" t="s">
        <v>65</v>
      </c>
      <c r="C22">
        <v>1948</v>
      </c>
    </row>
    <row r="23" spans="1:3" x14ac:dyDescent="0.25">
      <c r="A23" t="s">
        <v>59</v>
      </c>
      <c r="B23" t="s">
        <v>64</v>
      </c>
      <c r="C23">
        <v>507</v>
      </c>
    </row>
    <row r="24" spans="1:3" x14ac:dyDescent="0.25">
      <c r="A24" t="s">
        <v>58</v>
      </c>
      <c r="B24" t="s">
        <v>64</v>
      </c>
      <c r="C24">
        <v>85</v>
      </c>
    </row>
    <row r="25" spans="1:3" x14ac:dyDescent="0.25">
      <c r="A25" t="s">
        <v>57</v>
      </c>
      <c r="B25" t="s">
        <v>64</v>
      </c>
      <c r="C25">
        <v>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697179-78B6-4EAA-9298-11E7FC5275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Emission Factor</vt:lpstr>
      <vt:lpstr>Activity sources</vt:lpstr>
      <vt:lpstr>Calculation</vt:lpstr>
      <vt:lpstr>GHG_Trend</vt:lpstr>
      <vt:lpstr>Scope1_Refrigerants</vt:lpstr>
      <vt:lpstr>Scope2_Reconciliation</vt:lpstr>
      <vt:lpstr>Scope3_Categories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Sahu</dc:creator>
  <cp:lastModifiedBy>Somil Sahu</cp:lastModifiedBy>
  <dcterms:created xsi:type="dcterms:W3CDTF">2026-08-23T16:04:53Z</dcterms:created>
  <dcterms:modified xsi:type="dcterms:W3CDTF">2026-09-07T07:02:11Z</dcterms:modified>
</cp:coreProperties>
</file>